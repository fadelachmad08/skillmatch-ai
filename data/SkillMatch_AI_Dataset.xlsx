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eer_Skills" sheetId="1" state="visible" r:id="rId3"/>
    <sheet name="Student_Profiles" sheetId="2" state="visible" r:id="rId4"/>
    <sheet name="Course_Recommend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<sst xmlns="http://schemas.openxmlformats.org/spreadsheetml/2006/main" count="273" uniqueCount="161">
  <si>
    <t xml:space="preserve">SKILLMATCH AI — Dataset Karier &amp; Keterampilan</t>
  </si>
  <si>
    <t xml:space="preserve">Binary vector: 1 = skill dibutuhkan, 0 = tidak dibutuhkan</t>
  </si>
  <si>
    <t xml:space="preserve">No</t>
  </si>
  <si>
    <t xml:space="preserve">Karier</t>
  </si>
  <si>
    <t xml:space="preserve">Kategori</t>
  </si>
  <si>
    <t xml:space="preserve">Deskripsi</t>
  </si>
  <si>
    <t xml:space="preserve">Python</t>
  </si>
  <si>
    <t xml:space="preserve">SQL</t>
  </si>
  <si>
    <t xml:space="preserve">Statistics</t>
  </si>
  <si>
    <t xml:space="preserve">Machine Learning</t>
  </si>
  <si>
    <t xml:space="preserve">Data Visualization</t>
  </si>
  <si>
    <t xml:space="preserve">Excel</t>
  </si>
  <si>
    <t xml:space="preserve">Tableau</t>
  </si>
  <si>
    <t xml:space="preserve">Power BI</t>
  </si>
  <si>
    <t xml:space="preserve">R Programming</t>
  </si>
  <si>
    <t xml:space="preserve">Deep Learning</t>
  </si>
  <si>
    <t xml:space="preserve">Figma</t>
  </si>
  <si>
    <t xml:space="preserve">UI Design</t>
  </si>
  <si>
    <t xml:space="preserve">UX Research</t>
  </si>
  <si>
    <t xml:space="preserve">Prototyping</t>
  </si>
  <si>
    <t xml:space="preserve">Adobe XD</t>
  </si>
  <si>
    <t xml:space="preserve">Design Thinking</t>
  </si>
  <si>
    <t xml:space="preserve">Wireframing</t>
  </si>
  <si>
    <t xml:space="preserve">Color Theory</t>
  </si>
  <si>
    <t xml:space="preserve">Typography</t>
  </si>
  <si>
    <t xml:space="preserve">User Testing</t>
  </si>
  <si>
    <t xml:space="preserve">Total Skill</t>
  </si>
  <si>
    <t xml:space="preserve">Data Analyst</t>
  </si>
  <si>
    <t xml:space="preserve">Tech &amp; Data</t>
  </si>
  <si>
    <t xml:space="preserve">Menganalisis data untuk menghasilkan insight bisnis</t>
  </si>
  <si>
    <t xml:space="preserve">Data Scientist</t>
  </si>
  <si>
    <t xml:space="preserve">Membangun model prediktif dan analisis data lanjutan</t>
  </si>
  <si>
    <t xml:space="preserve">Machine Learning Engineer</t>
  </si>
  <si>
    <t xml:space="preserve">Mengembangkan dan men-deploy model ML ke produksi</t>
  </si>
  <si>
    <t xml:space="preserve">Business Intelligence Analyst</t>
  </si>
  <si>
    <t xml:space="preserve">Membuat dashboard dan laporan untuk keputusan bisnis</t>
  </si>
  <si>
    <t xml:space="preserve">Data Engineer</t>
  </si>
  <si>
    <t xml:space="preserve">Membangun pipeline dan infrastruktur data</t>
  </si>
  <si>
    <t xml:space="preserve">UI/UX Designer</t>
  </si>
  <si>
    <t xml:space="preserve">Design &amp; Creative</t>
  </si>
  <si>
    <t xml:space="preserve">Merancang antarmuka dan pengalaman pengguna digital</t>
  </si>
  <si>
    <t xml:space="preserve">UI Designer</t>
  </si>
  <si>
    <t xml:space="preserve">Fokus pada desain visual antarmuka aplikasi/web</t>
  </si>
  <si>
    <t xml:space="preserve">UX Researcher</t>
  </si>
  <si>
    <t xml:space="preserve">Melakukan riset pengguna untuk meningkatkan produk</t>
  </si>
  <si>
    <t xml:space="preserve">Product Designer</t>
  </si>
  <si>
    <t xml:space="preserve">Menggabungkan UI/UX dalam siklus pengembangan produk</t>
  </si>
  <si>
    <t xml:space="preserve">Graphic Designer</t>
  </si>
  <si>
    <t xml:space="preserve">Menciptakan konten visual untuk kebutuhan branding</t>
  </si>
  <si>
    <t xml:space="preserve">SKILLMATCH AI — Dataset Profil Mahasiswa</t>
  </si>
  <si>
    <t xml:space="preserve">Binary vector: 1 = skill dimiliki mahasiswa, 0 = belum dimiliki</t>
  </si>
  <si>
    <t xml:space="preserve">Student ID</t>
  </si>
  <si>
    <t xml:space="preserve">Nama</t>
  </si>
  <si>
    <t xml:space="preserve">Jurusan</t>
  </si>
  <si>
    <t xml:space="preserve">Semester</t>
  </si>
  <si>
    <t xml:space="preserve">Target Karier</t>
  </si>
  <si>
    <t xml:space="preserve">% Kesiapan</t>
  </si>
  <si>
    <t xml:space="preserve">S001</t>
  </si>
  <si>
    <t xml:space="preserve">Andi Pratama</t>
  </si>
  <si>
    <t xml:space="preserve">Sistem Informasi</t>
  </si>
  <si>
    <t xml:space="preserve">S002</t>
  </si>
  <si>
    <t xml:space="preserve">Bella Safitri</t>
  </si>
  <si>
    <t xml:space="preserve">Teknik Informatika</t>
  </si>
  <si>
    <t xml:space="preserve">S003</t>
  </si>
  <si>
    <t xml:space="preserve">Candra Wijaya</t>
  </si>
  <si>
    <t xml:space="preserve">Statistika</t>
  </si>
  <si>
    <t xml:space="preserve">S004</t>
  </si>
  <si>
    <t xml:space="preserve">Dina Rahayu</t>
  </si>
  <si>
    <t xml:space="preserve">Desain Komunikasi Visual</t>
  </si>
  <si>
    <t xml:space="preserve">S005</t>
  </si>
  <si>
    <t xml:space="preserve">Evan Nugroho</t>
  </si>
  <si>
    <t xml:space="preserve">S006</t>
  </si>
  <si>
    <t xml:space="preserve">Fira Amelia</t>
  </si>
  <si>
    <t xml:space="preserve">Desain Produk</t>
  </si>
  <si>
    <t xml:space="preserve">S007</t>
  </si>
  <si>
    <t xml:space="preserve">Gilang Ramadhan</t>
  </si>
  <si>
    <t xml:space="preserve">Ilmu Komputer</t>
  </si>
  <si>
    <t xml:space="preserve">S008</t>
  </si>
  <si>
    <t xml:space="preserve">Hani Kusuma</t>
  </si>
  <si>
    <t xml:space="preserve">S009</t>
  </si>
  <si>
    <t xml:space="preserve">Indra Setiawan</t>
  </si>
  <si>
    <t xml:space="preserve">S010</t>
  </si>
  <si>
    <t xml:space="preserve">Julia Maharani</t>
  </si>
  <si>
    <t xml:space="preserve">Psikologi</t>
  </si>
  <si>
    <t xml:space="preserve">S011</t>
  </si>
  <si>
    <t xml:space="preserve">Kevin Santoso</t>
  </si>
  <si>
    <t xml:space="preserve">S012</t>
  </si>
  <si>
    <t xml:space="preserve">Laila Fitriani</t>
  </si>
  <si>
    <t xml:space="preserve">S013</t>
  </si>
  <si>
    <t xml:space="preserve">Mario Putra</t>
  </si>
  <si>
    <t xml:space="preserve">BI Analyst</t>
  </si>
  <si>
    <t xml:space="preserve">S014</t>
  </si>
  <si>
    <t xml:space="preserve">Nadia Putri</t>
  </si>
  <si>
    <t xml:space="preserve">S015</t>
  </si>
  <si>
    <t xml:space="preserve">Oscar Hidayat</t>
  </si>
  <si>
    <t xml:space="preserve">SKILLMATCH AI — Rekomendasi Kursus &amp; Sertifikasi</t>
  </si>
  <si>
    <t xml:space="preserve">Skill</t>
  </si>
  <si>
    <t xml:space="preserve">Nama Kursus</t>
  </si>
  <si>
    <t xml:space="preserve">Platform</t>
  </si>
  <si>
    <t xml:space="preserve">Level</t>
  </si>
  <si>
    <t xml:space="preserve">Durasi</t>
  </si>
  <si>
    <t xml:space="preserve">Link / Keterangan</t>
  </si>
  <si>
    <t xml:space="preserve">Python for Everybody</t>
  </si>
  <si>
    <t xml:space="preserve">Coursera</t>
  </si>
  <si>
    <t xml:space="preserve">Beginner</t>
  </si>
  <si>
    <t xml:space="preserve">4 minggu</t>
  </si>
  <si>
    <t xml:space="preserve">coursera.org/learn/python</t>
  </si>
  <si>
    <t xml:space="preserve">Python Data Science Handbook</t>
  </si>
  <si>
    <t xml:space="preserve">Kaggle</t>
  </si>
  <si>
    <t xml:space="preserve">Intermediate</t>
  </si>
  <si>
    <t xml:space="preserve">Mandiri</t>
  </si>
  <si>
    <t xml:space="preserve">kaggle.com/learn/python</t>
  </si>
  <si>
    <t xml:space="preserve">SQL for Data Science</t>
  </si>
  <si>
    <t xml:space="preserve">coursera.org/learn/sql-for-data-science</t>
  </si>
  <si>
    <t xml:space="preserve">Mode SQL Tutorial</t>
  </si>
  <si>
    <t xml:space="preserve">Mode</t>
  </si>
  <si>
    <t xml:space="preserve">mode.com/sql-tutorial</t>
  </si>
  <si>
    <t xml:space="preserve">Statistics with Python</t>
  </si>
  <si>
    <t xml:space="preserve">5 minggu</t>
  </si>
  <si>
    <t xml:space="preserve">coursera.org/specializations/statistics-with-python</t>
  </si>
  <si>
    <t xml:space="preserve">Machine Learning Specialization</t>
  </si>
  <si>
    <t xml:space="preserve">3 bulan</t>
  </si>
  <si>
    <t xml:space="preserve">coursera.org/specializations/machine-learning-introduction</t>
  </si>
  <si>
    <t xml:space="preserve">Intro to Machine Learning</t>
  </si>
  <si>
    <t xml:space="preserve">3 jam</t>
  </si>
  <si>
    <t xml:space="preserve">kaggle.com/learn/intro-to-machine-learning</t>
  </si>
  <si>
    <t xml:space="preserve">Data Visualization with Python</t>
  </si>
  <si>
    <t xml:space="preserve">coursera.org/learn/python-for-data-visualization</t>
  </si>
  <si>
    <t xml:space="preserve">Tableau Public Free Training</t>
  </si>
  <si>
    <t xml:space="preserve">public.tableau.com/en-us/s/resources</t>
  </si>
  <si>
    <t xml:space="preserve">Microsoft Power BI Data Analyst</t>
  </si>
  <si>
    <t xml:space="preserve">8 minggu</t>
  </si>
  <si>
    <t xml:space="preserve">coursera.org/professional-certificates/microsoft-power-bi</t>
  </si>
  <si>
    <t xml:space="preserve">coursera.org/learn/r-programming</t>
  </si>
  <si>
    <t xml:space="preserve">Deep Learning Specialization</t>
  </si>
  <si>
    <t xml:space="preserve">Advanced</t>
  </si>
  <si>
    <t xml:space="preserve">coursera.org/specializations/deep-learning</t>
  </si>
  <si>
    <t xml:space="preserve">Figma UI UX Design Essentials</t>
  </si>
  <si>
    <t xml:space="preserve">Udemy</t>
  </si>
  <si>
    <t xml:space="preserve">10 jam</t>
  </si>
  <si>
    <t xml:space="preserve">udemy.com/course/figma-ux-ui-design-user-experience</t>
  </si>
  <si>
    <t xml:space="preserve">Google UX Design Certificate</t>
  </si>
  <si>
    <t xml:space="preserve">6 bulan</t>
  </si>
  <si>
    <t xml:space="preserve">coursera.org/professional-certificates/google-ux-design</t>
  </si>
  <si>
    <t xml:space="preserve">UX Research &amp; Strategy</t>
  </si>
  <si>
    <t xml:space="preserve">coursera.org/learn/ux-research</t>
  </si>
  <si>
    <t xml:space="preserve">Prototyping and Design</t>
  </si>
  <si>
    <t xml:space="preserve">3 minggu</t>
  </si>
  <si>
    <t xml:space="preserve">coursera.org/learn/prototyping</t>
  </si>
  <si>
    <t xml:space="preserve">Adobe XD Essential Training</t>
  </si>
  <si>
    <t xml:space="preserve">LinkedIn</t>
  </si>
  <si>
    <t xml:space="preserve">5 jam</t>
  </si>
  <si>
    <t xml:space="preserve">linkedin.com/learning/adobe-xd-essential-training</t>
  </si>
  <si>
    <t xml:space="preserve">Design Thinking for Innovation</t>
  </si>
  <si>
    <t xml:space="preserve">coursera.org/learn/uva-darden-design-thinking-innovation</t>
  </si>
  <si>
    <t xml:space="preserve">Wireframing with Figma</t>
  </si>
  <si>
    <t xml:space="preserve">YouTube</t>
  </si>
  <si>
    <t xml:space="preserve">youtube.com - search 'Figma Wireframing Tutorial'</t>
  </si>
  <si>
    <t xml:space="preserve">Usability Testing</t>
  </si>
  <si>
    <t xml:space="preserve">Nielsen</t>
  </si>
  <si>
    <t xml:space="preserve">nngroup.com/articles/usability-testing-101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</si>
</sst>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color rgb="FF37562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BDD7EE"/>
        <bgColor rgb="FFC6EFCE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CCC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375623"/>
        <bgColor rgb="FF276221"/>
      </patternFill>
    </fill>
    <fill>
      <patternFill patternType="solid">
        <fgColor rgb="FFE2EFDA"/>
        <bgColor rgb="FFF2F2F2"/>
      </patternFill>
    </fill>
    <fill>
      <patternFill patternType="solid">
        <fgColor rgb="FF7030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25" min="5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4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</row>
    <row r="4" customFormat="false" ht="15" hidden="false" customHeight="false" outlineLevel="0" collapsed="false">
      <c r="A4" s="5" t="n">
        <v>1</v>
      </c>
      <c r="B4" s="6" t="s">
        <v>27</v>
      </c>
      <c r="C4" s="5" t="s">
        <v>28</v>
      </c>
      <c r="D4" s="7" t="s">
        <v>29</v>
      </c>
      <c r="E4" s="8" t="n">
        <v>1</v>
      </c>
      <c r="F4" s="8" t="n">
        <v>1</v>
      </c>
      <c r="G4" s="8" t="n">
        <v>1</v>
      </c>
      <c r="H4" s="9" t="n">
        <v>0</v>
      </c>
      <c r="I4" s="8" t="n">
        <v>1</v>
      </c>
      <c r="J4" s="8" t="n">
        <v>1</v>
      </c>
      <c r="K4" s="8" t="n">
        <v>1</v>
      </c>
      <c r="L4" s="8" t="n">
        <v>1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10" t="n">
        <f aca="false">SUM(E4:X4)</f>
        <v>7</v>
      </c>
    </row>
    <row r="5" customFormat="false" ht="15" hidden="false" customHeight="false" outlineLevel="0" collapsed="false">
      <c r="A5" s="11" t="n">
        <v>2</v>
      </c>
      <c r="B5" s="12" t="s">
        <v>30</v>
      </c>
      <c r="C5" s="11" t="s">
        <v>28</v>
      </c>
      <c r="D5" s="13" t="s">
        <v>31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9" t="n">
        <v>0</v>
      </c>
      <c r="L5" s="9" t="n">
        <v>0</v>
      </c>
      <c r="M5" s="8" t="n">
        <v>1</v>
      </c>
      <c r="N5" s="8" t="n">
        <v>1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10" t="n">
        <f aca="false">SUM(E5:X5)</f>
        <v>8</v>
      </c>
    </row>
    <row r="6" customFormat="false" ht="15" hidden="false" customHeight="false" outlineLevel="0" collapsed="false">
      <c r="A6" s="5" t="n">
        <v>3</v>
      </c>
      <c r="B6" s="6" t="s">
        <v>32</v>
      </c>
      <c r="C6" s="5" t="s">
        <v>28</v>
      </c>
      <c r="D6" s="7" t="s">
        <v>33</v>
      </c>
      <c r="E6" s="8" t="n">
        <v>1</v>
      </c>
      <c r="F6" s="8" t="n">
        <v>1</v>
      </c>
      <c r="G6" s="8" t="n">
        <v>1</v>
      </c>
      <c r="H6" s="8" t="n">
        <v>1</v>
      </c>
      <c r="I6" s="9" t="n">
        <v>0</v>
      </c>
      <c r="J6" s="9" t="n">
        <v>0</v>
      </c>
      <c r="K6" s="9" t="n">
        <v>0</v>
      </c>
      <c r="L6" s="9" t="n">
        <v>0</v>
      </c>
      <c r="M6" s="8" t="n">
        <v>1</v>
      </c>
      <c r="N6" s="8" t="n">
        <v>1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10" t="n">
        <f aca="false">SUM(E6:X6)</f>
        <v>6</v>
      </c>
    </row>
    <row r="7" customFormat="false" ht="15" hidden="false" customHeight="false" outlineLevel="0" collapsed="false">
      <c r="A7" s="11" t="n">
        <v>4</v>
      </c>
      <c r="B7" s="12" t="s">
        <v>34</v>
      </c>
      <c r="C7" s="11" t="s">
        <v>28</v>
      </c>
      <c r="D7" s="13" t="s">
        <v>35</v>
      </c>
      <c r="E7" s="8" t="n">
        <v>1</v>
      </c>
      <c r="F7" s="8" t="n">
        <v>1</v>
      </c>
      <c r="G7" s="8" t="n">
        <v>1</v>
      </c>
      <c r="H7" s="9" t="n">
        <v>0</v>
      </c>
      <c r="I7" s="8" t="n">
        <v>1</v>
      </c>
      <c r="J7" s="8" t="n">
        <v>1</v>
      </c>
      <c r="K7" s="8" t="n">
        <v>1</v>
      </c>
      <c r="L7" s="8" t="n">
        <v>1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10" t="n">
        <f aca="false">SUM(E7:X7)</f>
        <v>7</v>
      </c>
    </row>
    <row r="8" customFormat="false" ht="15" hidden="false" customHeight="false" outlineLevel="0" collapsed="false">
      <c r="A8" s="5" t="n">
        <v>5</v>
      </c>
      <c r="B8" s="6" t="s">
        <v>36</v>
      </c>
      <c r="C8" s="5" t="s">
        <v>28</v>
      </c>
      <c r="D8" s="7" t="s">
        <v>37</v>
      </c>
      <c r="E8" s="8" t="n">
        <v>1</v>
      </c>
      <c r="F8" s="8" t="n">
        <v>1</v>
      </c>
      <c r="G8" s="9" t="n">
        <v>0</v>
      </c>
      <c r="H8" s="9" t="n">
        <v>0</v>
      </c>
      <c r="I8" s="9" t="n">
        <v>0</v>
      </c>
      <c r="J8" s="8" t="n">
        <v>1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10" t="n">
        <f aca="false">SUM(E8:X8)</f>
        <v>3</v>
      </c>
    </row>
    <row r="9" customFormat="false" ht="15" hidden="false" customHeight="false" outlineLevel="0" collapsed="false">
      <c r="A9" s="11" t="n">
        <v>6</v>
      </c>
      <c r="B9" s="12" t="s">
        <v>38</v>
      </c>
      <c r="C9" s="11" t="s">
        <v>39</v>
      </c>
      <c r="D9" s="13" t="s">
        <v>40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8" t="n">
        <v>1</v>
      </c>
      <c r="P9" s="8" t="n">
        <v>1</v>
      </c>
      <c r="Q9" s="8" t="n">
        <v>1</v>
      </c>
      <c r="R9" s="8" t="n">
        <v>1</v>
      </c>
      <c r="S9" s="8" t="n">
        <v>1</v>
      </c>
      <c r="T9" s="8" t="n">
        <v>1</v>
      </c>
      <c r="U9" s="8" t="n">
        <v>1</v>
      </c>
      <c r="V9" s="8" t="n">
        <v>1</v>
      </c>
      <c r="W9" s="8" t="n">
        <v>1</v>
      </c>
      <c r="X9" s="8" t="n">
        <v>1</v>
      </c>
      <c r="Y9" s="10" t="n">
        <f aca="false">SUM(E9:X9)</f>
        <v>10</v>
      </c>
    </row>
    <row r="10" customFormat="false" ht="15" hidden="false" customHeight="false" outlineLevel="0" collapsed="false">
      <c r="A10" s="5" t="n">
        <v>7</v>
      </c>
      <c r="B10" s="6" t="s">
        <v>41</v>
      </c>
      <c r="C10" s="5" t="s">
        <v>39</v>
      </c>
      <c r="D10" s="7" t="s">
        <v>42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8" t="n">
        <v>1</v>
      </c>
      <c r="P10" s="8" t="n">
        <v>1</v>
      </c>
      <c r="Q10" s="9" t="n">
        <v>0</v>
      </c>
      <c r="R10" s="8" t="n">
        <v>1</v>
      </c>
      <c r="S10" s="8" t="n">
        <v>1</v>
      </c>
      <c r="T10" s="9" t="n">
        <v>0</v>
      </c>
      <c r="U10" s="8" t="n">
        <v>1</v>
      </c>
      <c r="V10" s="8" t="n">
        <v>1</v>
      </c>
      <c r="W10" s="8" t="n">
        <v>1</v>
      </c>
      <c r="X10" s="9" t="n">
        <v>0</v>
      </c>
      <c r="Y10" s="10" t="n">
        <f aca="false">SUM(E10:X10)</f>
        <v>7</v>
      </c>
    </row>
    <row r="11" customFormat="false" ht="15" hidden="false" customHeight="false" outlineLevel="0" collapsed="false">
      <c r="A11" s="11" t="n">
        <v>8</v>
      </c>
      <c r="B11" s="12" t="s">
        <v>43</v>
      </c>
      <c r="C11" s="11" t="s">
        <v>39</v>
      </c>
      <c r="D11" s="13" t="s">
        <v>44</v>
      </c>
      <c r="E11" s="9" t="n">
        <v>0</v>
      </c>
      <c r="F11" s="9" t="n">
        <v>0</v>
      </c>
      <c r="G11" s="8" t="n">
        <v>1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8" t="n">
        <v>1</v>
      </c>
      <c r="P11" s="9" t="n">
        <v>0</v>
      </c>
      <c r="Q11" s="8" t="n">
        <v>1</v>
      </c>
      <c r="R11" s="9" t="n">
        <v>0</v>
      </c>
      <c r="S11" s="9" t="n">
        <v>0</v>
      </c>
      <c r="T11" s="8" t="n">
        <v>1</v>
      </c>
      <c r="U11" s="9" t="n">
        <v>0</v>
      </c>
      <c r="V11" s="9" t="n">
        <v>0</v>
      </c>
      <c r="W11" s="9" t="n">
        <v>0</v>
      </c>
      <c r="X11" s="8" t="n">
        <v>1</v>
      </c>
      <c r="Y11" s="10" t="n">
        <f aca="false">SUM(E11:X11)</f>
        <v>5</v>
      </c>
    </row>
    <row r="12" customFormat="false" ht="15" hidden="false" customHeight="false" outlineLevel="0" collapsed="false">
      <c r="A12" s="5" t="n">
        <v>9</v>
      </c>
      <c r="B12" s="6" t="s">
        <v>45</v>
      </c>
      <c r="C12" s="5" t="s">
        <v>39</v>
      </c>
      <c r="D12" s="7" t="s">
        <v>46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8" t="n">
        <v>1</v>
      </c>
      <c r="P12" s="8" t="n">
        <v>1</v>
      </c>
      <c r="Q12" s="8" t="n">
        <v>1</v>
      </c>
      <c r="R12" s="8" t="n">
        <v>1</v>
      </c>
      <c r="S12" s="8" t="n">
        <v>1</v>
      </c>
      <c r="T12" s="8" t="n">
        <v>1</v>
      </c>
      <c r="U12" s="8" t="n">
        <v>1</v>
      </c>
      <c r="V12" s="9" t="n">
        <v>0</v>
      </c>
      <c r="W12" s="8" t="n">
        <v>1</v>
      </c>
      <c r="X12" s="8" t="n">
        <v>1</v>
      </c>
      <c r="Y12" s="10" t="n">
        <f aca="false">SUM(E12:X12)</f>
        <v>9</v>
      </c>
    </row>
    <row r="13" customFormat="false" ht="15" hidden="false" customHeight="false" outlineLevel="0" collapsed="false">
      <c r="A13" s="11" t="n">
        <v>10</v>
      </c>
      <c r="B13" s="12" t="s">
        <v>47</v>
      </c>
      <c r="C13" s="11" t="s">
        <v>39</v>
      </c>
      <c r="D13" s="13" t="s">
        <v>48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8" t="n">
        <v>1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8" t="n">
        <v>1</v>
      </c>
      <c r="W13" s="8" t="n">
        <v>1</v>
      </c>
      <c r="X13" s="9" t="n">
        <v>0</v>
      </c>
      <c r="Y13" s="10" t="n">
        <f aca="false">SUM(E13:X13)</f>
        <v>3</v>
      </c>
    </row>
  </sheetData>
  <mergeCells count="2">
    <mergeCell ref="A1:W1"/>
    <mergeCell ref="A2: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27" min="6" style="0" width="12"/>
  </cols>
  <sheetData>
    <row r="1" customFormat="false" ht="30" hidden="false" customHeight="true" outlineLevel="0" collapsed="false">
      <c r="A1" s="14" t="s">
        <v>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customFormat="false" ht="15" hidden="false" customHeight="fals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45" hidden="false" customHeight="true" outlineLevel="0" collapsed="false">
      <c r="A3" s="15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17</v>
      </c>
      <c r="R3" s="16" t="s">
        <v>18</v>
      </c>
      <c r="S3" s="16" t="s">
        <v>19</v>
      </c>
      <c r="T3" s="16" t="s">
        <v>20</v>
      </c>
      <c r="U3" s="16" t="s">
        <v>21</v>
      </c>
      <c r="V3" s="16" t="s">
        <v>22</v>
      </c>
      <c r="W3" s="16" t="s">
        <v>23</v>
      </c>
      <c r="X3" s="16" t="s">
        <v>24</v>
      </c>
      <c r="Y3" s="16" t="s">
        <v>25</v>
      </c>
      <c r="Z3" s="16" t="s">
        <v>26</v>
      </c>
      <c r="AA3" s="16" t="s">
        <v>56</v>
      </c>
    </row>
    <row r="4" customFormat="false" ht="15" hidden="false" customHeight="false" outlineLevel="0" collapsed="false">
      <c r="A4" s="5" t="s">
        <v>57</v>
      </c>
      <c r="B4" s="17" t="s">
        <v>58</v>
      </c>
      <c r="C4" s="7" t="s">
        <v>59</v>
      </c>
      <c r="D4" s="5" t="n">
        <v>6</v>
      </c>
      <c r="E4" s="7" t="s">
        <v>27</v>
      </c>
      <c r="F4" s="8" t="n">
        <v>1</v>
      </c>
      <c r="G4" s="8" t="n">
        <v>1</v>
      </c>
      <c r="H4" s="8" t="n">
        <v>1</v>
      </c>
      <c r="I4" s="9" t="n">
        <v>0</v>
      </c>
      <c r="J4" s="8" t="n">
        <v>1</v>
      </c>
      <c r="K4" s="8" t="n">
        <v>1</v>
      </c>
      <c r="L4" s="8" t="n">
        <v>1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10" t="n">
        <f aca="false">SUM(F4:Y4)</f>
        <v>6</v>
      </c>
      <c r="AA4" s="18" t="n">
        <f aca="false">Z4/20</f>
        <v>0.3</v>
      </c>
    </row>
    <row r="5" customFormat="false" ht="15" hidden="false" customHeight="false" outlineLevel="0" collapsed="false">
      <c r="A5" s="11" t="s">
        <v>60</v>
      </c>
      <c r="B5" s="19" t="s">
        <v>61</v>
      </c>
      <c r="C5" s="13" t="s">
        <v>62</v>
      </c>
      <c r="D5" s="11" t="n">
        <v>8</v>
      </c>
      <c r="E5" s="13" t="s">
        <v>30</v>
      </c>
      <c r="F5" s="8" t="n">
        <v>1</v>
      </c>
      <c r="G5" s="8" t="n">
        <v>1</v>
      </c>
      <c r="H5" s="8" t="n">
        <v>1</v>
      </c>
      <c r="I5" s="8" t="n">
        <v>1</v>
      </c>
      <c r="J5" s="9" t="n">
        <v>0</v>
      </c>
      <c r="K5" s="9" t="n">
        <v>0</v>
      </c>
      <c r="L5" s="9" t="n">
        <v>0</v>
      </c>
      <c r="M5" s="9" t="n">
        <v>0</v>
      </c>
      <c r="N5" s="8" t="n">
        <v>1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10" t="n">
        <f aca="false">SUM(F5:Y5)</f>
        <v>5</v>
      </c>
      <c r="AA5" s="18" t="n">
        <f aca="false">Z5/20</f>
        <v>0.25</v>
      </c>
    </row>
    <row r="6" customFormat="false" ht="15" hidden="false" customHeight="false" outlineLevel="0" collapsed="false">
      <c r="A6" s="5" t="s">
        <v>63</v>
      </c>
      <c r="B6" s="17" t="s">
        <v>64</v>
      </c>
      <c r="C6" s="7" t="s">
        <v>65</v>
      </c>
      <c r="D6" s="5" t="n">
        <v>6</v>
      </c>
      <c r="E6" s="7" t="s">
        <v>27</v>
      </c>
      <c r="F6" s="8" t="n">
        <v>1</v>
      </c>
      <c r="G6" s="9" t="n">
        <v>0</v>
      </c>
      <c r="H6" s="8" t="n">
        <v>1</v>
      </c>
      <c r="I6" s="9" t="n">
        <v>0</v>
      </c>
      <c r="J6" s="8" t="n">
        <v>1</v>
      </c>
      <c r="K6" s="8" t="n">
        <v>1</v>
      </c>
      <c r="L6" s="9" t="n">
        <v>0</v>
      </c>
      <c r="M6" s="8" t="n">
        <v>1</v>
      </c>
      <c r="N6" s="8" t="n">
        <v>1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10" t="n">
        <f aca="false">SUM(F6:Y6)</f>
        <v>6</v>
      </c>
      <c r="AA6" s="18" t="n">
        <f aca="false">Z6/20</f>
        <v>0.3</v>
      </c>
    </row>
    <row r="7" customFormat="false" ht="15" hidden="false" customHeight="false" outlineLevel="0" collapsed="false">
      <c r="A7" s="11" t="s">
        <v>66</v>
      </c>
      <c r="B7" s="19" t="s">
        <v>67</v>
      </c>
      <c r="C7" s="13" t="s">
        <v>68</v>
      </c>
      <c r="D7" s="11" t="n">
        <v>6</v>
      </c>
      <c r="E7" s="13" t="s">
        <v>38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8" t="n">
        <v>1</v>
      </c>
      <c r="Q7" s="8" t="n">
        <v>1</v>
      </c>
      <c r="R7" s="8" t="n">
        <v>1</v>
      </c>
      <c r="S7" s="8" t="n">
        <v>1</v>
      </c>
      <c r="T7" s="9" t="n">
        <v>0</v>
      </c>
      <c r="U7" s="8" t="n">
        <v>1</v>
      </c>
      <c r="V7" s="8" t="n">
        <v>1</v>
      </c>
      <c r="W7" s="8" t="n">
        <v>1</v>
      </c>
      <c r="X7" s="8" t="n">
        <v>1</v>
      </c>
      <c r="Y7" s="9" t="n">
        <v>0</v>
      </c>
      <c r="Z7" s="10" t="n">
        <f aca="false">SUM(F7:Y7)</f>
        <v>8</v>
      </c>
      <c r="AA7" s="18" t="n">
        <f aca="false">Z7/20</f>
        <v>0.4</v>
      </c>
    </row>
    <row r="8" customFormat="false" ht="15" hidden="false" customHeight="false" outlineLevel="0" collapsed="false">
      <c r="A8" s="5" t="s">
        <v>69</v>
      </c>
      <c r="B8" s="17" t="s">
        <v>70</v>
      </c>
      <c r="C8" s="7" t="s">
        <v>62</v>
      </c>
      <c r="D8" s="5" t="n">
        <v>4</v>
      </c>
      <c r="E8" s="7" t="s">
        <v>32</v>
      </c>
      <c r="F8" s="8" t="n">
        <v>1</v>
      </c>
      <c r="G8" s="9" t="n">
        <v>0</v>
      </c>
      <c r="H8" s="8" t="n">
        <v>1</v>
      </c>
      <c r="I8" s="8" t="n">
        <v>1</v>
      </c>
      <c r="J8" s="9" t="n">
        <v>0</v>
      </c>
      <c r="K8" s="9" t="n">
        <v>0</v>
      </c>
      <c r="L8" s="9" t="n">
        <v>0</v>
      </c>
      <c r="M8" s="9" t="n">
        <v>0</v>
      </c>
      <c r="N8" s="8" t="n">
        <v>1</v>
      </c>
      <c r="O8" s="8" t="n">
        <v>1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10" t="n">
        <f aca="false">SUM(F8:Y8)</f>
        <v>5</v>
      </c>
      <c r="AA8" s="18" t="n">
        <f aca="false">Z8/20</f>
        <v>0.25</v>
      </c>
    </row>
    <row r="9" customFormat="false" ht="15" hidden="false" customHeight="false" outlineLevel="0" collapsed="false">
      <c r="A9" s="11" t="s">
        <v>71</v>
      </c>
      <c r="B9" s="19" t="s">
        <v>72</v>
      </c>
      <c r="C9" s="13" t="s">
        <v>73</v>
      </c>
      <c r="D9" s="11" t="n">
        <v>8</v>
      </c>
      <c r="E9" s="13" t="s">
        <v>45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8" t="n">
        <v>1</v>
      </c>
      <c r="Q9" s="8" t="n">
        <v>1</v>
      </c>
      <c r="R9" s="8" t="n">
        <v>1</v>
      </c>
      <c r="S9" s="8" t="n">
        <v>1</v>
      </c>
      <c r="T9" s="8" t="n">
        <v>1</v>
      </c>
      <c r="U9" s="8" t="n">
        <v>1</v>
      </c>
      <c r="V9" s="8" t="n">
        <v>1</v>
      </c>
      <c r="W9" s="9" t="n">
        <v>0</v>
      </c>
      <c r="X9" s="8" t="n">
        <v>1</v>
      </c>
      <c r="Y9" s="8" t="n">
        <v>1</v>
      </c>
      <c r="Z9" s="10" t="n">
        <f aca="false">SUM(F9:Y9)</f>
        <v>9</v>
      </c>
      <c r="AA9" s="18" t="n">
        <f aca="false">Z9/20</f>
        <v>0.45</v>
      </c>
    </row>
    <row r="10" customFormat="false" ht="15" hidden="false" customHeight="false" outlineLevel="0" collapsed="false">
      <c r="A10" s="5" t="s">
        <v>74</v>
      </c>
      <c r="B10" s="17" t="s">
        <v>75</v>
      </c>
      <c r="C10" s="7" t="s">
        <v>76</v>
      </c>
      <c r="D10" s="5" t="n">
        <v>6</v>
      </c>
      <c r="E10" s="7" t="s">
        <v>36</v>
      </c>
      <c r="F10" s="8" t="n">
        <v>1</v>
      </c>
      <c r="G10" s="8" t="n">
        <v>1</v>
      </c>
      <c r="H10" s="9" t="n">
        <v>0</v>
      </c>
      <c r="I10" s="9" t="n">
        <v>0</v>
      </c>
      <c r="J10" s="9" t="n">
        <v>0</v>
      </c>
      <c r="K10" s="8" t="n">
        <v>1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10" t="n">
        <f aca="false">SUM(F10:Y10)</f>
        <v>3</v>
      </c>
      <c r="AA10" s="18" t="n">
        <f aca="false">Z10/20</f>
        <v>0.15</v>
      </c>
    </row>
    <row r="11" customFormat="false" ht="15" hidden="false" customHeight="false" outlineLevel="0" collapsed="false">
      <c r="A11" s="11" t="s">
        <v>77</v>
      </c>
      <c r="B11" s="19" t="s">
        <v>78</v>
      </c>
      <c r="C11" s="13" t="s">
        <v>59</v>
      </c>
      <c r="D11" s="11" t="n">
        <v>4</v>
      </c>
      <c r="E11" s="13" t="s">
        <v>34</v>
      </c>
      <c r="F11" s="8" t="n">
        <v>1</v>
      </c>
      <c r="G11" s="8" t="n">
        <v>1</v>
      </c>
      <c r="H11" s="9" t="n">
        <v>0</v>
      </c>
      <c r="I11" s="9" t="n">
        <v>0</v>
      </c>
      <c r="J11" s="8" t="n">
        <v>1</v>
      </c>
      <c r="K11" s="8" t="n">
        <v>1</v>
      </c>
      <c r="L11" s="8" t="n">
        <v>1</v>
      </c>
      <c r="M11" s="8" t="n">
        <v>1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10" t="n">
        <f aca="false">SUM(F11:Y11)</f>
        <v>6</v>
      </c>
      <c r="AA11" s="18" t="n">
        <f aca="false">Z11/20</f>
        <v>0.3</v>
      </c>
    </row>
    <row r="12" customFormat="false" ht="15" hidden="false" customHeight="false" outlineLevel="0" collapsed="false">
      <c r="A12" s="5" t="s">
        <v>79</v>
      </c>
      <c r="B12" s="17" t="s">
        <v>80</v>
      </c>
      <c r="C12" s="7" t="s">
        <v>68</v>
      </c>
      <c r="D12" s="5" t="n">
        <v>6</v>
      </c>
      <c r="E12" s="7" t="s">
        <v>41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8" t="n">
        <v>1</v>
      </c>
      <c r="Q12" s="8" t="n">
        <v>1</v>
      </c>
      <c r="R12" s="9" t="n">
        <v>0</v>
      </c>
      <c r="S12" s="8" t="n">
        <v>1</v>
      </c>
      <c r="T12" s="8" t="n">
        <v>1</v>
      </c>
      <c r="U12" s="9" t="n">
        <v>0</v>
      </c>
      <c r="V12" s="8" t="n">
        <v>1</v>
      </c>
      <c r="W12" s="8" t="n">
        <v>1</v>
      </c>
      <c r="X12" s="8" t="n">
        <v>1</v>
      </c>
      <c r="Y12" s="9" t="n">
        <v>0</v>
      </c>
      <c r="Z12" s="10" t="n">
        <f aca="false">SUM(F12:Y12)</f>
        <v>7</v>
      </c>
      <c r="AA12" s="18" t="n">
        <f aca="false">Z12/20</f>
        <v>0.35</v>
      </c>
    </row>
    <row r="13" customFormat="false" ht="15" hidden="false" customHeight="false" outlineLevel="0" collapsed="false">
      <c r="A13" s="11" t="s">
        <v>81</v>
      </c>
      <c r="B13" s="19" t="s">
        <v>82</v>
      </c>
      <c r="C13" s="13" t="s">
        <v>83</v>
      </c>
      <c r="D13" s="11" t="n">
        <v>8</v>
      </c>
      <c r="E13" s="13" t="s">
        <v>43</v>
      </c>
      <c r="F13" s="9" t="n">
        <v>0</v>
      </c>
      <c r="G13" s="9" t="n">
        <v>0</v>
      </c>
      <c r="H13" s="8" t="n">
        <v>1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8" t="n">
        <v>1</v>
      </c>
      <c r="S13" s="9" t="n">
        <v>0</v>
      </c>
      <c r="T13" s="9" t="n">
        <v>0</v>
      </c>
      <c r="U13" s="8" t="n">
        <v>1</v>
      </c>
      <c r="V13" s="9" t="n">
        <v>0</v>
      </c>
      <c r="W13" s="9" t="n">
        <v>0</v>
      </c>
      <c r="X13" s="9" t="n">
        <v>0</v>
      </c>
      <c r="Y13" s="8" t="n">
        <v>1</v>
      </c>
      <c r="Z13" s="10" t="n">
        <f aca="false">SUM(F13:Y13)</f>
        <v>4</v>
      </c>
      <c r="AA13" s="18" t="n">
        <f aca="false">Z13/20</f>
        <v>0.2</v>
      </c>
    </row>
    <row r="14" customFormat="false" ht="15" hidden="false" customHeight="false" outlineLevel="0" collapsed="false">
      <c r="A14" s="5" t="s">
        <v>84</v>
      </c>
      <c r="B14" s="17" t="s">
        <v>85</v>
      </c>
      <c r="C14" s="7" t="s">
        <v>62</v>
      </c>
      <c r="D14" s="5" t="n">
        <v>6</v>
      </c>
      <c r="E14" s="7" t="s">
        <v>30</v>
      </c>
      <c r="F14" s="8" t="n">
        <v>1</v>
      </c>
      <c r="G14" s="8" t="n">
        <v>1</v>
      </c>
      <c r="H14" s="8" t="n">
        <v>1</v>
      </c>
      <c r="I14" s="8" t="n">
        <v>1</v>
      </c>
      <c r="J14" s="8" t="n">
        <v>1</v>
      </c>
      <c r="K14" s="9" t="n">
        <v>0</v>
      </c>
      <c r="L14" s="9" t="n">
        <v>0</v>
      </c>
      <c r="M14" s="9" t="n">
        <v>0</v>
      </c>
      <c r="N14" s="8" t="n">
        <v>1</v>
      </c>
      <c r="O14" s="8" t="n">
        <v>1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10" t="n">
        <f aca="false">SUM(F14:Y14)</f>
        <v>7</v>
      </c>
      <c r="AA14" s="18" t="n">
        <f aca="false">Z14/20</f>
        <v>0.35</v>
      </c>
    </row>
    <row r="15" customFormat="false" ht="15" hidden="false" customHeight="false" outlineLevel="0" collapsed="false">
      <c r="A15" s="11" t="s">
        <v>86</v>
      </c>
      <c r="B15" s="19" t="s">
        <v>87</v>
      </c>
      <c r="C15" s="13" t="s">
        <v>68</v>
      </c>
      <c r="D15" s="11" t="n">
        <v>4</v>
      </c>
      <c r="E15" s="13" t="s">
        <v>47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8" t="n">
        <v>1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8" t="n">
        <v>1</v>
      </c>
      <c r="X15" s="8" t="n">
        <v>1</v>
      </c>
      <c r="Y15" s="9" t="n">
        <v>0</v>
      </c>
      <c r="Z15" s="10" t="n">
        <f aca="false">SUM(F15:Y15)</f>
        <v>3</v>
      </c>
      <c r="AA15" s="18" t="n">
        <f aca="false">Z15/20</f>
        <v>0.15</v>
      </c>
    </row>
    <row r="16" customFormat="false" ht="15" hidden="false" customHeight="false" outlineLevel="0" collapsed="false">
      <c r="A16" s="5" t="s">
        <v>88</v>
      </c>
      <c r="B16" s="17" t="s">
        <v>89</v>
      </c>
      <c r="C16" s="7" t="s">
        <v>59</v>
      </c>
      <c r="D16" s="5" t="n">
        <v>8</v>
      </c>
      <c r="E16" s="7" t="s">
        <v>90</v>
      </c>
      <c r="F16" s="8" t="n">
        <v>1</v>
      </c>
      <c r="G16" s="8" t="n">
        <v>1</v>
      </c>
      <c r="H16" s="8" t="n">
        <v>1</v>
      </c>
      <c r="I16" s="9" t="n">
        <v>0</v>
      </c>
      <c r="J16" s="8" t="n">
        <v>1</v>
      </c>
      <c r="K16" s="8" t="n">
        <v>1</v>
      </c>
      <c r="L16" s="8" t="n">
        <v>1</v>
      </c>
      <c r="M16" s="8" t="n">
        <v>1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10" t="n">
        <f aca="false">SUM(F16:Y16)</f>
        <v>7</v>
      </c>
      <c r="AA16" s="18" t="n">
        <f aca="false">Z16/20</f>
        <v>0.35</v>
      </c>
    </row>
    <row r="17" customFormat="false" ht="15" hidden="false" customHeight="false" outlineLevel="0" collapsed="false">
      <c r="A17" s="11" t="s">
        <v>91</v>
      </c>
      <c r="B17" s="19" t="s">
        <v>92</v>
      </c>
      <c r="C17" s="13" t="s">
        <v>73</v>
      </c>
      <c r="D17" s="11" t="n">
        <v>6</v>
      </c>
      <c r="E17" s="13" t="s">
        <v>38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8" t="n">
        <v>1</v>
      </c>
      <c r="Q17" s="8" t="n">
        <v>1</v>
      </c>
      <c r="R17" s="8" t="n">
        <v>1</v>
      </c>
      <c r="S17" s="8" t="n">
        <v>1</v>
      </c>
      <c r="T17" s="8" t="n">
        <v>1</v>
      </c>
      <c r="U17" s="8" t="n">
        <v>1</v>
      </c>
      <c r="V17" s="8" t="n">
        <v>1</v>
      </c>
      <c r="W17" s="9" t="n">
        <v>0</v>
      </c>
      <c r="X17" s="9" t="n">
        <v>0</v>
      </c>
      <c r="Y17" s="8" t="n">
        <v>1</v>
      </c>
      <c r="Z17" s="10" t="n">
        <f aca="false">SUM(F17:Y17)</f>
        <v>8</v>
      </c>
      <c r="AA17" s="18" t="n">
        <f aca="false">Z17/20</f>
        <v>0.4</v>
      </c>
    </row>
    <row r="18" customFormat="false" ht="15" hidden="false" customHeight="false" outlineLevel="0" collapsed="false">
      <c r="A18" s="5" t="s">
        <v>93</v>
      </c>
      <c r="B18" s="17" t="s">
        <v>94</v>
      </c>
      <c r="C18" s="7" t="s">
        <v>76</v>
      </c>
      <c r="D18" s="5" t="n">
        <v>6</v>
      </c>
      <c r="E18" s="7" t="s">
        <v>32</v>
      </c>
      <c r="F18" s="8" t="n">
        <v>1</v>
      </c>
      <c r="G18" s="9" t="n">
        <v>0</v>
      </c>
      <c r="H18" s="8" t="n">
        <v>1</v>
      </c>
      <c r="I18" s="8" t="n">
        <v>1</v>
      </c>
      <c r="J18" s="9" t="n">
        <v>0</v>
      </c>
      <c r="K18" s="9" t="n">
        <v>0</v>
      </c>
      <c r="L18" s="9" t="n">
        <v>0</v>
      </c>
      <c r="M18" s="9" t="n">
        <v>0</v>
      </c>
      <c r="N18" s="8" t="n">
        <v>1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10" t="n">
        <f aca="false">SUM(F18:Y18)</f>
        <v>4</v>
      </c>
      <c r="AA18" s="18" t="n">
        <f aca="false">Z18/20</f>
        <v>0.2</v>
      </c>
    </row>
  </sheetData>
  <mergeCells count="2">
    <mergeCell ref="A1:X1"/>
    <mergeCell ref="A2:X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45"/>
  </cols>
  <sheetData>
    <row r="1" customFormat="false" ht="30" hidden="false" customHeight="true" outlineLevel="0" collapsed="false">
      <c r="A1" s="20" t="s">
        <v>95</v>
      </c>
      <c r="B1" s="20"/>
      <c r="C1" s="20"/>
      <c r="D1" s="20"/>
      <c r="E1" s="20"/>
      <c r="F1" s="20"/>
    </row>
    <row r="2" customFormat="false" ht="30" hidden="false" customHeight="true" outlineLevel="0" collapsed="false">
      <c r="A2" s="21" t="s">
        <v>96</v>
      </c>
      <c r="B2" s="21" t="s">
        <v>97</v>
      </c>
      <c r="C2" s="21" t="s">
        <v>98</v>
      </c>
      <c r="D2" s="21" t="s">
        <v>99</v>
      </c>
      <c r="E2" s="21" t="s">
        <v>100</v>
      </c>
      <c r="F2" s="21" t="s">
        <v>101</v>
      </c>
    </row>
    <row r="3" customFormat="false" ht="15" hidden="false" customHeight="false" outlineLevel="0" collapsed="false">
      <c r="A3" s="12" t="s">
        <v>6</v>
      </c>
      <c r="B3" s="13" t="s">
        <v>102</v>
      </c>
      <c r="C3" s="11" t="s">
        <v>103</v>
      </c>
      <c r="D3" s="22" t="s">
        <v>104</v>
      </c>
      <c r="E3" s="11" t="s">
        <v>105</v>
      </c>
      <c r="F3" s="13" t="s">
        <v>106</v>
      </c>
    </row>
    <row r="4" customFormat="false" ht="15" hidden="false" customHeight="false" outlineLevel="0" collapsed="false">
      <c r="A4" s="6" t="s">
        <v>6</v>
      </c>
      <c r="B4" s="7" t="s">
        <v>107</v>
      </c>
      <c r="C4" s="5" t="s">
        <v>108</v>
      </c>
      <c r="D4" s="23" t="s">
        <v>109</v>
      </c>
      <c r="E4" s="5" t="s">
        <v>110</v>
      </c>
      <c r="F4" s="7" t="s">
        <v>111</v>
      </c>
    </row>
    <row r="5" customFormat="false" ht="15" hidden="false" customHeight="false" outlineLevel="0" collapsed="false">
      <c r="A5" s="12" t="s">
        <v>7</v>
      </c>
      <c r="B5" s="13" t="s">
        <v>112</v>
      </c>
      <c r="C5" s="11" t="s">
        <v>103</v>
      </c>
      <c r="D5" s="22" t="s">
        <v>104</v>
      </c>
      <c r="E5" s="11" t="s">
        <v>105</v>
      </c>
      <c r="F5" s="13" t="s">
        <v>113</v>
      </c>
    </row>
    <row r="6" customFormat="false" ht="15" hidden="false" customHeight="false" outlineLevel="0" collapsed="false">
      <c r="A6" s="6" t="s">
        <v>7</v>
      </c>
      <c r="B6" s="7" t="s">
        <v>114</v>
      </c>
      <c r="C6" s="5" t="s">
        <v>115</v>
      </c>
      <c r="D6" s="22" t="s">
        <v>104</v>
      </c>
      <c r="E6" s="5" t="s">
        <v>110</v>
      </c>
      <c r="F6" s="7" t="s">
        <v>116</v>
      </c>
    </row>
    <row r="7" customFormat="false" ht="15" hidden="false" customHeight="false" outlineLevel="0" collapsed="false">
      <c r="A7" s="12" t="s">
        <v>8</v>
      </c>
      <c r="B7" s="13" t="s">
        <v>117</v>
      </c>
      <c r="C7" s="11" t="s">
        <v>103</v>
      </c>
      <c r="D7" s="23" t="s">
        <v>109</v>
      </c>
      <c r="E7" s="11" t="s">
        <v>118</v>
      </c>
      <c r="F7" s="13" t="s">
        <v>119</v>
      </c>
    </row>
    <row r="8" customFormat="false" ht="15" hidden="false" customHeight="false" outlineLevel="0" collapsed="false">
      <c r="A8" s="6" t="s">
        <v>9</v>
      </c>
      <c r="B8" s="7" t="s">
        <v>120</v>
      </c>
      <c r="C8" s="5" t="s">
        <v>103</v>
      </c>
      <c r="D8" s="23" t="s">
        <v>109</v>
      </c>
      <c r="E8" s="5" t="s">
        <v>121</v>
      </c>
      <c r="F8" s="7" t="s">
        <v>122</v>
      </c>
    </row>
    <row r="9" customFormat="false" ht="15" hidden="false" customHeight="false" outlineLevel="0" collapsed="false">
      <c r="A9" s="12" t="s">
        <v>9</v>
      </c>
      <c r="B9" s="13" t="s">
        <v>123</v>
      </c>
      <c r="C9" s="11" t="s">
        <v>108</v>
      </c>
      <c r="D9" s="22" t="s">
        <v>104</v>
      </c>
      <c r="E9" s="11" t="s">
        <v>124</v>
      </c>
      <c r="F9" s="13" t="s">
        <v>125</v>
      </c>
    </row>
    <row r="10" customFormat="false" ht="15" hidden="false" customHeight="false" outlineLevel="0" collapsed="false">
      <c r="A10" s="6" t="s">
        <v>10</v>
      </c>
      <c r="B10" s="7" t="s">
        <v>126</v>
      </c>
      <c r="C10" s="5" t="s">
        <v>103</v>
      </c>
      <c r="D10" s="23" t="s">
        <v>109</v>
      </c>
      <c r="E10" s="5" t="s">
        <v>105</v>
      </c>
      <c r="F10" s="7" t="s">
        <v>127</v>
      </c>
    </row>
    <row r="11" customFormat="false" ht="15" hidden="false" customHeight="false" outlineLevel="0" collapsed="false">
      <c r="A11" s="12" t="s">
        <v>12</v>
      </c>
      <c r="B11" s="13" t="s">
        <v>128</v>
      </c>
      <c r="C11" s="11" t="s">
        <v>12</v>
      </c>
      <c r="D11" s="22" t="s">
        <v>104</v>
      </c>
      <c r="E11" s="11" t="s">
        <v>110</v>
      </c>
      <c r="F11" s="13" t="s">
        <v>129</v>
      </c>
    </row>
    <row r="12" customFormat="false" ht="15" hidden="false" customHeight="false" outlineLevel="0" collapsed="false">
      <c r="A12" s="6" t="s">
        <v>13</v>
      </c>
      <c r="B12" s="7" t="s">
        <v>130</v>
      </c>
      <c r="C12" s="5" t="s">
        <v>103</v>
      </c>
      <c r="D12" s="23" t="s">
        <v>109</v>
      </c>
      <c r="E12" s="5" t="s">
        <v>131</v>
      </c>
      <c r="F12" s="7" t="s">
        <v>132</v>
      </c>
    </row>
    <row r="13" customFormat="false" ht="15" hidden="false" customHeight="false" outlineLevel="0" collapsed="false">
      <c r="A13" s="12" t="s">
        <v>14</v>
      </c>
      <c r="B13" s="13" t="s">
        <v>14</v>
      </c>
      <c r="C13" s="11" t="s">
        <v>103</v>
      </c>
      <c r="D13" s="22" t="s">
        <v>104</v>
      </c>
      <c r="E13" s="11" t="s">
        <v>105</v>
      </c>
      <c r="F13" s="13" t="s">
        <v>133</v>
      </c>
    </row>
    <row r="14" customFormat="false" ht="15" hidden="false" customHeight="false" outlineLevel="0" collapsed="false">
      <c r="A14" s="6" t="s">
        <v>15</v>
      </c>
      <c r="B14" s="7" t="s">
        <v>134</v>
      </c>
      <c r="C14" s="5" t="s">
        <v>103</v>
      </c>
      <c r="D14" s="24" t="s">
        <v>135</v>
      </c>
      <c r="E14" s="5" t="s">
        <v>121</v>
      </c>
      <c r="F14" s="7" t="s">
        <v>136</v>
      </c>
    </row>
    <row r="15" customFormat="false" ht="15" hidden="false" customHeight="false" outlineLevel="0" collapsed="false">
      <c r="A15" s="12" t="s">
        <v>16</v>
      </c>
      <c r="B15" s="13" t="s">
        <v>137</v>
      </c>
      <c r="C15" s="11" t="s">
        <v>138</v>
      </c>
      <c r="D15" s="22" t="s">
        <v>104</v>
      </c>
      <c r="E15" s="11" t="s">
        <v>139</v>
      </c>
      <c r="F15" s="13" t="s">
        <v>140</v>
      </c>
    </row>
    <row r="16" customFormat="false" ht="15" hidden="false" customHeight="false" outlineLevel="0" collapsed="false">
      <c r="A16" s="6" t="s">
        <v>17</v>
      </c>
      <c r="B16" s="7" t="s">
        <v>141</v>
      </c>
      <c r="C16" s="5" t="s">
        <v>103</v>
      </c>
      <c r="D16" s="22" t="s">
        <v>104</v>
      </c>
      <c r="E16" s="5" t="s">
        <v>142</v>
      </c>
      <c r="F16" s="7" t="s">
        <v>143</v>
      </c>
    </row>
    <row r="17" customFormat="false" ht="15" hidden="false" customHeight="false" outlineLevel="0" collapsed="false">
      <c r="A17" s="12" t="s">
        <v>18</v>
      </c>
      <c r="B17" s="13" t="s">
        <v>144</v>
      </c>
      <c r="C17" s="11" t="s">
        <v>103</v>
      </c>
      <c r="D17" s="23" t="s">
        <v>109</v>
      </c>
      <c r="E17" s="11" t="s">
        <v>105</v>
      </c>
      <c r="F17" s="13" t="s">
        <v>145</v>
      </c>
    </row>
    <row r="18" customFormat="false" ht="15" hidden="false" customHeight="false" outlineLevel="0" collapsed="false">
      <c r="A18" s="6" t="s">
        <v>19</v>
      </c>
      <c r="B18" s="7" t="s">
        <v>146</v>
      </c>
      <c r="C18" s="5" t="s">
        <v>103</v>
      </c>
      <c r="D18" s="22" t="s">
        <v>104</v>
      </c>
      <c r="E18" s="5" t="s">
        <v>147</v>
      </c>
      <c r="F18" s="7" t="s">
        <v>148</v>
      </c>
    </row>
    <row r="19" customFormat="false" ht="15" hidden="false" customHeight="false" outlineLevel="0" collapsed="false">
      <c r="A19" s="12" t="s">
        <v>20</v>
      </c>
      <c r="B19" s="13" t="s">
        <v>149</v>
      </c>
      <c r="C19" s="11" t="s">
        <v>150</v>
      </c>
      <c r="D19" s="22" t="s">
        <v>104</v>
      </c>
      <c r="E19" s="11" t="s">
        <v>151</v>
      </c>
      <c r="F19" s="13" t="s">
        <v>152</v>
      </c>
    </row>
    <row r="20" customFormat="false" ht="15" hidden="false" customHeight="false" outlineLevel="0" collapsed="false">
      <c r="A20" s="6" t="s">
        <v>21</v>
      </c>
      <c r="B20" s="7" t="s">
        <v>153</v>
      </c>
      <c r="C20" s="5" t="s">
        <v>103</v>
      </c>
      <c r="D20" s="22" t="s">
        <v>104</v>
      </c>
      <c r="E20" s="5" t="s">
        <v>105</v>
      </c>
      <c r="F20" s="7" t="s">
        <v>154</v>
      </c>
    </row>
    <row r="21" customFormat="false" ht="15" hidden="false" customHeight="false" outlineLevel="0" collapsed="false">
      <c r="A21" s="12" t="s">
        <v>22</v>
      </c>
      <c r="B21" s="13" t="s">
        <v>155</v>
      </c>
      <c r="C21" s="11" t="s">
        <v>156</v>
      </c>
      <c r="D21" s="22" t="s">
        <v>104</v>
      </c>
      <c r="E21" s="11" t="s">
        <v>110</v>
      </c>
      <c r="F21" s="13" t="s">
        <v>157</v>
      </c>
    </row>
    <row r="22" customFormat="false" ht="15" hidden="false" customHeight="false" outlineLevel="0" collapsed="false">
      <c r="A22" s="6" t="s">
        <v>25</v>
      </c>
      <c r="B22" s="7" t="s">
        <v>158</v>
      </c>
      <c r="C22" s="5" t="s">
        <v>159</v>
      </c>
      <c r="D22" s="23" t="s">
        <v>109</v>
      </c>
      <c r="E22" s="5" t="s">
        <v>110</v>
      </c>
      <c r="F22" s="7" t="s">
        <v>160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2026-05-17T12:07:37Z</dcterms:created>
  <dc:creator>openpyxl</dc:creator>
  <dc:description/>
  <dc:language>en-US</dc:language>
  <cp:lastModifiedBy/>
  <dcterms:modified xsi:type="dcterms:W3CDTF">2026-05-17T12:07:37Z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